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niel Seidecaru\SQL-BI\VBA Projects\Macro_Insert data into cells daily Item Data activity\"/>
    </mc:Choice>
  </mc:AlternateContent>
  <xr:revisionPtr revIDLastSave="0" documentId="13_ncr:1_{42075090-DBC8-4F17-AE27-82513E51B8F4}" xr6:coauthVersionLast="47" xr6:coauthVersionMax="47" xr10:uidLastSave="{00000000-0000-0000-0000-000000000000}"/>
  <bookViews>
    <workbookView xWindow="-28920" yWindow="-120" windowWidth="29040" windowHeight="15840" activeTab="1" xr2:uid="{C6D7B1E2-69EA-4C55-8CD4-3CFEB0174422}"/>
  </bookViews>
  <sheets>
    <sheet name="New articles" sheetId="1" r:id="rId1"/>
    <sheet name="Daily environmental check" sheetId="5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3" i="1" l="1"/>
  <c r="D32" i="1" l="1"/>
  <c r="D31" i="1" l="1"/>
  <c r="D30" i="1" l="1"/>
  <c r="D29" i="1" l="1"/>
  <c r="D28" i="1" l="1"/>
  <c r="D27" i="1" l="1"/>
  <c r="D26" i="1" l="1"/>
  <c r="D25" i="1" l="1"/>
  <c r="D24" i="1" l="1"/>
  <c r="D23" i="1" l="1"/>
  <c r="D22" i="1" l="1"/>
  <c r="D21" i="1" l="1"/>
  <c r="D20" i="1" l="1"/>
  <c r="D19" i="1" l="1"/>
  <c r="D18" i="1" l="1"/>
  <c r="D17" i="1" l="1"/>
  <c r="D16" i="1" l="1"/>
  <c r="H15" i="1" l="1"/>
  <c r="D15" i="1"/>
  <c r="D14" i="1" l="1"/>
  <c r="H4" i="1"/>
  <c r="H5" i="1"/>
  <c r="H6" i="1"/>
  <c r="H7" i="1"/>
  <c r="H8" i="1"/>
  <c r="H9" i="1"/>
  <c r="H10" i="1"/>
  <c r="H11" i="1"/>
  <c r="H12" i="1"/>
  <c r="H13" i="1"/>
  <c r="H14" i="1"/>
  <c r="H3" i="1"/>
  <c r="D4" i="1"/>
  <c r="D5" i="1"/>
  <c r="D6" i="1"/>
  <c r="D7" i="1"/>
  <c r="D8" i="1"/>
  <c r="D9" i="1"/>
  <c r="D10" i="1"/>
  <c r="D11" i="1"/>
  <c r="D12" i="1"/>
  <c r="D13" i="1"/>
  <c r="D3" i="1"/>
</calcChain>
</file>

<file path=xl/sharedStrings.xml><?xml version="1.0" encoding="utf-8"?>
<sst xmlns="http://schemas.openxmlformats.org/spreadsheetml/2006/main" count="33" uniqueCount="30">
  <si>
    <t>Request from</t>
  </si>
  <si>
    <t>Date</t>
  </si>
  <si>
    <t>Total EK verified</t>
  </si>
  <si>
    <t>Total</t>
  </si>
  <si>
    <t>AS</t>
  </si>
  <si>
    <t>MV</t>
  </si>
  <si>
    <t>Date of check</t>
  </si>
  <si>
    <t>Date of creation</t>
  </si>
  <si>
    <t>RoHS3 and REACH check</t>
  </si>
  <si>
    <t>REACH is verified and ticked in Infor only if the document from wiki cover at least 201 substances.</t>
  </si>
  <si>
    <t>Verified aricles</t>
  </si>
  <si>
    <t>Date of tick</t>
  </si>
  <si>
    <t>MV (RoHS3)</t>
  </si>
  <si>
    <t>AS (RoHS3)</t>
  </si>
  <si>
    <t>Ticked articles in Infor (RoHS3)</t>
  </si>
  <si>
    <t>Ticked articles in Infor (REACH)</t>
  </si>
  <si>
    <t>MV (REACH)</t>
  </si>
  <si>
    <t>AS (REACH)</t>
  </si>
  <si>
    <t>REACH ticked</t>
  </si>
  <si>
    <t>Articles verified</t>
  </si>
  <si>
    <t>RoHS3 ticked</t>
  </si>
  <si>
    <t>MV=Mirel Vatavu</t>
  </si>
  <si>
    <t>AS=Alexandru Salomia</t>
  </si>
  <si>
    <t>MV (Verified articles)</t>
  </si>
  <si>
    <t>AS (Verified articles)</t>
  </si>
  <si>
    <t>Mirel Vatavu (Articole noi)</t>
  </si>
  <si>
    <t>Alexandru Salomia (Articole noi)</t>
  </si>
  <si>
    <t>Mirel Vatavu (Normalizate)</t>
  </si>
  <si>
    <t>Alexandru Salomia (Normalizate)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</si>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</sst>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4" x14ac:knownFonts="1">
    <font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2">
    <xf numFmtId="0" fontId="0" fillId="0" borderId="0"/>
    <xf numFmtId="0" fontId="2" fillId="3" borderId="0" applyNumberFormat="0" applyBorder="0" applyAlignment="0" applyProtection="0"/>
  </cellStyleXfs>
  <cellXfs count="16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Fill="1"/>
    <xf numFmtId="0" fontId="0" fillId="0" borderId="0" xfId="0" applyNumberFormat="1" applyFill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/>
    <xf numFmtId="14" fontId="2" fillId="3" borderId="0" xfId="1" applyNumberFormat="1"/>
    <xf numFmtId="14" fontId="1" fillId="2" borderId="1" xfId="0" applyNumberFormat="1" applyFont="1" applyFill="1" applyBorder="1"/>
    <xf numFmtId="14" fontId="0" fillId="0" borderId="0" xfId="0" applyNumberFormat="1" applyAlignment="1">
      <alignment wrapText="1"/>
    </xf>
    <xf numFmtId="0" fontId="0" fillId="0" borderId="0" xfId="0" applyNumberFormat="1" applyAlignmen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Fill="1"/>
    <xf numFmtId="164" fontId="0" fillId="0" borderId="0" xfId="0" applyNumberFormat="1"/>
  </cellXfs>
  <cellStyles count="2">
    <cellStyle name="Good" xfId="1" builtinId="26"/>
    <cellStyle name="Normal" xfId="0" builtinId="0"/>
  </cellStyles>
  <dxfs count="10">
    <dxf>
      <numFmt numFmtId="164" formatCode="dd/mm/yyyy"/>
    </dxf>
    <dxf>
      <alignment horizontal="general" vertical="bottom" textRotation="0" wrapText="1" indent="0" justifyLastLine="0" shrinkToFit="0" readingOrder="0"/>
    </dxf>
    <dxf>
      <numFmt numFmtId="164" formatCode="dd/mm/yyyy"/>
    </dxf>
    <dxf>
      <alignment horizontal="general" vertical="bottom" textRotation="0" wrapText="1" indent="0" justifyLastLine="0" shrinkToFit="0" readingOrder="0"/>
    </dxf>
    <dxf>
      <numFmt numFmtId="164" formatCode="dd/mm/yyyy"/>
    </dxf>
    <dxf>
      <numFmt numFmtId="0" formatCode="General"/>
    </dxf>
    <dxf>
      <numFmt numFmtId="164" formatCode="dd/mm/yyyy"/>
    </dxf>
    <dxf>
      <numFmt numFmtId="1" formatCode="0"/>
    </dxf>
    <dxf>
      <numFmt numFmtId="1" formatCode="0"/>
    </dxf>
    <dxf>
      <numFmt numFmtId="164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articles</a:t>
            </a:r>
          </a:p>
        </c:rich>
      </c:tx>
      <c:layout>
        <c:manualLayout>
          <c:xMode val="edge"/>
          <c:yMode val="edge"/>
          <c:x val="0.35949300087489067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'New articles'!$B$2</c:f>
              <c:strCache>
                <c:ptCount val="1"/>
                <c:pt idx="0">
                  <c:v>Mirel Vatavu (Articole noi)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'New articles'!$A$3:$A$33</c:f>
              <c:numCache>
                <c:formatCode>m/d/yyyy</c:formatCode>
                <c:ptCount val="31"/>
                <c:pt idx="0">
                  <c:v>43948</c:v>
                </c:pt>
                <c:pt idx="1">
                  <c:v>43949</c:v>
                </c:pt>
                <c:pt idx="2">
                  <c:v>43950</c:v>
                </c:pt>
                <c:pt idx="3">
                  <c:v>43951</c:v>
                </c:pt>
                <c:pt idx="4">
                  <c:v>43955</c:v>
                </c:pt>
                <c:pt idx="5">
                  <c:v>43956</c:v>
                </c:pt>
                <c:pt idx="6">
                  <c:v>43957</c:v>
                </c:pt>
                <c:pt idx="7">
                  <c:v>43958</c:v>
                </c:pt>
                <c:pt idx="8">
                  <c:v>43959</c:v>
                </c:pt>
                <c:pt idx="9">
                  <c:v>43962</c:v>
                </c:pt>
                <c:pt idx="10">
                  <c:v>43963</c:v>
                </c:pt>
                <c:pt idx="11">
                  <c:v>43964</c:v>
                </c:pt>
                <c:pt idx="12">
                  <c:v>43965</c:v>
                </c:pt>
                <c:pt idx="13">
                  <c:v>43966</c:v>
                </c:pt>
                <c:pt idx="14">
                  <c:v>43969</c:v>
                </c:pt>
                <c:pt idx="15">
                  <c:v>43970</c:v>
                </c:pt>
                <c:pt idx="16">
                  <c:v>43971</c:v>
                </c:pt>
                <c:pt idx="17">
                  <c:v>43972</c:v>
                </c:pt>
                <c:pt idx="18">
                  <c:v>43973</c:v>
                </c:pt>
                <c:pt idx="19">
                  <c:v>43976</c:v>
                </c:pt>
                <c:pt idx="20">
                  <c:v>43977</c:v>
                </c:pt>
                <c:pt idx="21">
                  <c:v>43978</c:v>
                </c:pt>
                <c:pt idx="22">
                  <c:v>43979</c:v>
                </c:pt>
                <c:pt idx="23">
                  <c:v>43984</c:v>
                </c:pt>
                <c:pt idx="24">
                  <c:v>43985</c:v>
                </c:pt>
                <c:pt idx="25">
                  <c:v>43986</c:v>
                </c:pt>
                <c:pt idx="26">
                  <c:v>43987</c:v>
                </c:pt>
                <c:pt idx="27">
                  <c:v>43991</c:v>
                </c:pt>
                <c:pt idx="28">
                  <c:v>43992</c:v>
                </c:pt>
                <c:pt idx="29">
                  <c:v>43993</c:v>
                </c:pt>
                <c:pt idx="30" formatCode="dd/mm/yyyy">
                  <c:v>44399</c:v>
                </c:pt>
              </c:numCache>
            </c:numRef>
          </c:cat>
          <c:val>
            <c:numRef>
              <c:f>'New articles'!$B$3:$B$33</c:f>
              <c:numCache>
                <c:formatCode>0</c:formatCode>
                <c:ptCount val="31"/>
                <c:pt idx="0">
                  <c:v>6</c:v>
                </c:pt>
                <c:pt idx="1">
                  <c:v>5</c:v>
                </c:pt>
                <c:pt idx="2">
                  <c:v>6</c:v>
                </c:pt>
                <c:pt idx="3">
                  <c:v>2</c:v>
                </c:pt>
                <c:pt idx="4">
                  <c:v>9</c:v>
                </c:pt>
                <c:pt idx="5">
                  <c:v>0</c:v>
                </c:pt>
                <c:pt idx="6">
                  <c:v>10</c:v>
                </c:pt>
                <c:pt idx="7">
                  <c:v>2</c:v>
                </c:pt>
                <c:pt idx="8">
                  <c:v>7</c:v>
                </c:pt>
                <c:pt idx="9">
                  <c:v>14</c:v>
                </c:pt>
                <c:pt idx="10">
                  <c:v>6</c:v>
                </c:pt>
                <c:pt idx="11">
                  <c:v>5</c:v>
                </c:pt>
                <c:pt idx="12">
                  <c:v>14</c:v>
                </c:pt>
                <c:pt idx="13">
                  <c:v>7</c:v>
                </c:pt>
                <c:pt idx="14">
                  <c:v>3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12</c:v>
                </c:pt>
                <c:pt idx="20">
                  <c:v>2</c:v>
                </c:pt>
                <c:pt idx="21">
                  <c:v>13</c:v>
                </c:pt>
                <c:pt idx="22">
                  <c:v>0</c:v>
                </c:pt>
                <c:pt idx="23">
                  <c:v>4</c:v>
                </c:pt>
                <c:pt idx="24">
                  <c:v>13</c:v>
                </c:pt>
                <c:pt idx="25">
                  <c:v>7</c:v>
                </c:pt>
                <c:pt idx="26">
                  <c:v>5</c:v>
                </c:pt>
                <c:pt idx="27">
                  <c:v>28</c:v>
                </c:pt>
                <c:pt idx="28">
                  <c:v>17</c:v>
                </c:pt>
                <c:pt idx="29">
                  <c:v>4</c:v>
                </c:pt>
                <c:pt idx="3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22-4085-AF5E-BC8EC534DA02}"/>
            </c:ext>
          </c:extLst>
        </c:ser>
        <c:ser>
          <c:idx val="1"/>
          <c:order val="1"/>
          <c:tx>
            <c:strRef>
              <c:f>'New articles'!$C$2</c:f>
              <c:strCache>
                <c:ptCount val="1"/>
                <c:pt idx="0">
                  <c:v>Alexandru Salomia (Articole noi)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'New articles'!$A$3:$A$33</c:f>
              <c:numCache>
                <c:formatCode>m/d/yyyy</c:formatCode>
                <c:ptCount val="31"/>
                <c:pt idx="0">
                  <c:v>43948</c:v>
                </c:pt>
                <c:pt idx="1">
                  <c:v>43949</c:v>
                </c:pt>
                <c:pt idx="2">
                  <c:v>43950</c:v>
                </c:pt>
                <c:pt idx="3">
                  <c:v>43951</c:v>
                </c:pt>
                <c:pt idx="4">
                  <c:v>43955</c:v>
                </c:pt>
                <c:pt idx="5">
                  <c:v>43956</c:v>
                </c:pt>
                <c:pt idx="6">
                  <c:v>43957</c:v>
                </c:pt>
                <c:pt idx="7">
                  <c:v>43958</c:v>
                </c:pt>
                <c:pt idx="8">
                  <c:v>43959</c:v>
                </c:pt>
                <c:pt idx="9">
                  <c:v>43962</c:v>
                </c:pt>
                <c:pt idx="10">
                  <c:v>43963</c:v>
                </c:pt>
                <c:pt idx="11">
                  <c:v>43964</c:v>
                </c:pt>
                <c:pt idx="12">
                  <c:v>43965</c:v>
                </c:pt>
                <c:pt idx="13">
                  <c:v>43966</c:v>
                </c:pt>
                <c:pt idx="14">
                  <c:v>43969</c:v>
                </c:pt>
                <c:pt idx="15">
                  <c:v>43970</c:v>
                </c:pt>
                <c:pt idx="16">
                  <c:v>43971</c:v>
                </c:pt>
                <c:pt idx="17">
                  <c:v>43972</c:v>
                </c:pt>
                <c:pt idx="18">
                  <c:v>43973</c:v>
                </c:pt>
                <c:pt idx="19">
                  <c:v>43976</c:v>
                </c:pt>
                <c:pt idx="20">
                  <c:v>43977</c:v>
                </c:pt>
                <c:pt idx="21">
                  <c:v>43978</c:v>
                </c:pt>
                <c:pt idx="22">
                  <c:v>43979</c:v>
                </c:pt>
                <c:pt idx="23">
                  <c:v>43984</c:v>
                </c:pt>
                <c:pt idx="24">
                  <c:v>43985</c:v>
                </c:pt>
                <c:pt idx="25">
                  <c:v>43986</c:v>
                </c:pt>
                <c:pt idx="26">
                  <c:v>43987</c:v>
                </c:pt>
                <c:pt idx="27">
                  <c:v>43991</c:v>
                </c:pt>
                <c:pt idx="28">
                  <c:v>43992</c:v>
                </c:pt>
                <c:pt idx="29">
                  <c:v>43993</c:v>
                </c:pt>
                <c:pt idx="30" formatCode="dd/mm/yyyy">
                  <c:v>44399</c:v>
                </c:pt>
              </c:numCache>
            </c:numRef>
          </c:cat>
          <c:val>
            <c:numRef>
              <c:f>'New articles'!$C$3:$C$33</c:f>
              <c:numCache>
                <c:formatCode>0</c:formatCode>
                <c:ptCount val="31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14</c:v>
                </c:pt>
                <c:pt idx="9">
                  <c:v>12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4</c:v>
                </c:pt>
                <c:pt idx="20">
                  <c:v>2</c:v>
                </c:pt>
                <c:pt idx="21">
                  <c:v>10</c:v>
                </c:pt>
                <c:pt idx="22">
                  <c:v>3</c:v>
                </c:pt>
                <c:pt idx="23">
                  <c:v>0</c:v>
                </c:pt>
                <c:pt idx="24">
                  <c:v>10</c:v>
                </c:pt>
                <c:pt idx="25">
                  <c:v>2</c:v>
                </c:pt>
                <c:pt idx="26">
                  <c:v>4</c:v>
                </c:pt>
                <c:pt idx="27">
                  <c:v>24</c:v>
                </c:pt>
                <c:pt idx="28">
                  <c:v>6</c:v>
                </c:pt>
                <c:pt idx="29">
                  <c:v>2</c:v>
                </c:pt>
                <c:pt idx="3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22-4085-AF5E-BC8EC534D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7031960"/>
        <c:axId val="627033928"/>
      </c:barChart>
      <c:catAx>
        <c:axId val="6270319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Date of creation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33928"/>
        <c:crosses val="autoZero"/>
        <c:auto val="0"/>
        <c:lblAlgn val="ctr"/>
        <c:lblOffset val="100"/>
        <c:noMultiLvlLbl val="0"/>
      </c:catAx>
      <c:valAx>
        <c:axId val="62703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Created articles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31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542925</xdr:colOff>
      <xdr:row>0</xdr:row>
      <xdr:rowOff>152400</xdr:rowOff>
    </xdr:from>
    <xdr:to>
      <xdr:col>21</xdr:col>
      <xdr:colOff>276225</xdr:colOff>
      <xdr:row>26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B2FFB5-F85D-4C33-8A42-E8E61C99FA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28</xdr:row>
      <xdr:rowOff>9525</xdr:rowOff>
    </xdr:from>
    <xdr:to>
      <xdr:col>5</xdr:col>
      <xdr:colOff>1800225</xdr:colOff>
      <xdr:row>30</xdr:row>
      <xdr:rowOff>180975</xdr:rowOff>
    </xdr:to>
    <xdr:sp macro="[0]!UserFor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4AB2046-A755-473F-AE80-E8E1A69BB585}"/>
            </a:ext>
          </a:extLst>
        </xdr:cNvPr>
        <xdr:cNvSpPr/>
      </xdr:nvSpPr>
      <xdr:spPr>
        <a:xfrm>
          <a:off x="5876925" y="5343525"/>
          <a:ext cx="1800225" cy="5524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Adauga</a:t>
          </a:r>
          <a:r>
            <a:rPr lang="en-US" sz="1100" b="1" baseline="0">
              <a:solidFill>
                <a:schemeClr val="bg1"/>
              </a:solidFill>
            </a:rPr>
            <a:t> numarul EK-urilor noi create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</xdr:row>
      <xdr:rowOff>19050</xdr:rowOff>
    </xdr:from>
    <xdr:to>
      <xdr:col>5</xdr:col>
      <xdr:colOff>1438275</xdr:colOff>
      <xdr:row>3</xdr:row>
      <xdr:rowOff>123825</xdr:rowOff>
    </xdr:to>
    <xdr:sp macro="[0]!UserFormDo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A22E6A1-AAF4-44EC-B480-4C9E1B60ABD2}"/>
            </a:ext>
          </a:extLst>
        </xdr:cNvPr>
        <xdr:cNvSpPr/>
      </xdr:nvSpPr>
      <xdr:spPr>
        <a:xfrm>
          <a:off x="6200775" y="209550"/>
          <a:ext cx="1428750" cy="485775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Adauga rapid datele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77C894-A8C5-4052-B119-0B7D0ED441AF}" name="Table1" displayName="Table1" ref="A2:D33" totalsRowShown="0">
  <autoFilter ref="A2:D33" xr:uid="{74E49BFA-3C60-442A-8541-F4E127265E2D}"/>
  <tableColumns count="4">
    <tableColumn id="1" xr3:uid="{A6B5B86E-EA8E-40A3-A7B8-C5FC751B9107}" name="Date of creation" dataDxfId="9"/>
    <tableColumn id="2" xr3:uid="{EB7CC232-66C4-491D-8E20-0C55AADADAFA}" name="Mirel Vatavu (Articole noi)" dataDxfId="8"/>
    <tableColumn id="3" xr3:uid="{896AC0A5-3967-4FA2-A907-9AB73A5D4A64}" name="Alexandru Salomia (Articole noi)" dataDxfId="7"/>
    <tableColumn id="7" xr3:uid="{5BEE580E-28C7-4741-B068-8A81E1728922}" name="Total">
      <calculatedColumnFormula>SUM(Table1[[#This Row],[Mirel Vatavu (Articole noi)]:[Alexandru Salomia (Articole noi)]])</calculatedColumnFormula>
    </tableColumn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04432A9-9A85-4266-9ACF-FF95A627A370}" name="Table8" displayName="Table8" ref="F2:H15" totalsRowShown="0">
  <autoFilter ref="F2:H15" xr:uid="{F4B103C6-E842-4340-AEDF-2D7D3B4E38C8}"/>
  <tableColumns count="3">
    <tableColumn id="1" xr3:uid="{FA1522A5-07F5-464C-8342-B2439A091FE9}" name="Mirel Vatavu (Normalizate)"/>
    <tableColumn id="2" xr3:uid="{D659AE0E-24B5-47F2-8CD0-680810CBFE0A}" name="Alexandru Salomia (Normalizate)"/>
    <tableColumn id="3" xr3:uid="{8017960B-4DB2-4485-BC7C-3055E6869406}" name="Total">
      <calculatedColumnFormula>SUM(Table8[[#This Row],[Mirel Vatavu (Normalizate)]:[Alexandru Salomia (Normalizate)]])</calculatedColumnFormula>
    </tableColumn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4AC03C-433B-453A-B68F-86E748889156}" name="Table3" displayName="Table3" ref="A6:E8" totalsRowShown="0" headerRowCellStyle="Normal" dataCellStyle="Normal">
  <autoFilter ref="A6:E8" xr:uid="{B6E7C0CD-DBF0-4F23-90AE-E0920B6C5322}"/>
  <tableColumns count="5">
    <tableColumn id="1" xr3:uid="{328C95B0-BA05-4168-AD6E-A4416841FBF8}" name="Date of check" dataDxfId="6" dataCellStyle="Normal"/>
    <tableColumn id="4" xr3:uid="{F28A8C2C-DAF1-46EC-AD7F-9EF1DB726EE1}" name="MV"/>
    <tableColumn id="2" xr3:uid="{D2F0E02E-09E4-4CAC-A733-0499B03F2EC5}" name="AS" dataCellStyle="Normal"/>
    <tableColumn id="3" xr3:uid="{8A1D1F17-20E7-44BF-A74B-BB9F0B5FEE9C}" name="Total EK verified" dataDxfId="5" dataCellStyle="Normal"/>
    <tableColumn id="5" xr3:uid="{B308EFEC-634F-41FD-BAAD-BD8DB00CB474}" name="Request from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A7F8E40-D3AB-4CA7-A861-906DA2033068}" name="Table6" displayName="Table6" ref="Q6:T8" totalsRowShown="0">
  <autoFilter ref="Q6:T8" xr:uid="{0760A234-58FE-49ED-B439-F9791C3ECE8B}"/>
  <tableColumns count="4">
    <tableColumn id="1" xr3:uid="{3FFDA07F-07A1-42BA-9011-1666E0F46DE6}" name="Date" dataDxfId="4"/>
    <tableColumn id="2" xr3:uid="{93B9CD41-D88B-4093-BCEB-D52DF362E22E}" name="Articles verified"/>
    <tableColumn id="3" xr3:uid="{98ABC4F8-D251-42E6-BB47-709CE15F4951}" name="MV (Verified articles)"/>
    <tableColumn id="4" xr3:uid="{DD094DE1-FE34-48AD-9997-275FE97ACD88}" name="AS (Verified articles)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62C8633-CAFD-41CB-B178-8F67C3821282}" name="Table5" displayName="Table5" ref="G6:J8" totalsRowShown="0" headerRowDxfId="1">
  <autoFilter ref="G6:J8" xr:uid="{039FCB61-476D-459E-A3EE-A5DDE6421AA0}"/>
  <tableColumns count="4">
    <tableColumn id="1" xr3:uid="{12F9ED23-6856-48D7-8B3F-14AC5D70C485}" name="Date of tick" dataDxfId="0"/>
    <tableColumn id="2" xr3:uid="{5FC36B14-0159-488A-B34E-2444A8A26D2D}" name="MV (RoHS3)"/>
    <tableColumn id="3" xr3:uid="{14166EA5-A133-478A-8B49-51DCAE73CA77}" name="AS (RoHS3)"/>
    <tableColumn id="4" xr3:uid="{EB21A77A-B415-4267-8B71-46653742BBC2}" name="RoHS3 ticked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3778F45-6B15-401F-BF0C-C0D02E138F91}" name="Table7" displayName="Table7" ref="L6:O8" totalsRowShown="0" headerRowDxfId="3">
  <autoFilter ref="L6:O8" xr:uid="{F27364A3-70EB-4EA8-BA06-F9F2EACA7203}"/>
  <tableColumns count="4">
    <tableColumn id="1" xr3:uid="{81D2066E-3943-48B2-ABE4-AF0D587EDC53}" name="Date of tick" dataDxfId="2"/>
    <tableColumn id="2" xr3:uid="{9177C6A3-E773-4DE3-BCA6-2524A5979C9D}" name="MV (REACH)"/>
    <tableColumn id="3" xr3:uid="{9E591DB8-70A0-4A97-9F53-ECF286A0C63E}" name="AS (REACH)"/>
    <tableColumn id="4" xr3:uid="{4D940A2C-D19E-4958-97E9-0A358EC6DA04}" name="REACH ticked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4E3B4-8394-486B-961F-3901948E1E99}">
  <sheetPr codeName="Sheet1"/>
  <dimension ref="A1:H33"/>
  <sheetViews>
    <sheetView workbookViewId="0">
      <selection activeCell="C34" sqref="C34"/>
    </sheetView>
  </sheetViews>
  <sheetFormatPr defaultRowHeight="15" x14ac:dyDescent="0.25"/>
  <cols>
    <col min="1" max="1" width="17.42578125" style="1" customWidth="1"/>
    <col min="2" max="2" width="25.140625" customWidth="1"/>
    <col min="3" max="3" width="27.28515625" customWidth="1"/>
    <col min="6" max="6" width="27.140625" customWidth="1"/>
    <col min="7" max="7" width="32.42578125" customWidth="1"/>
  </cols>
  <sheetData>
    <row r="1" spans="1:8" x14ac:dyDescent="0.25">
      <c r="B1" s="11"/>
      <c r="C1" s="11"/>
    </row>
    <row r="2" spans="1:8" x14ac:dyDescent="0.25">
      <c r="A2" s="1" t="s">
        <v>7</v>
      </c>
      <c r="B2" t="s">
        <v>25</v>
      </c>
      <c r="C2" t="s">
        <v>26</v>
      </c>
      <c r="D2" t="s">
        <v>3</v>
      </c>
      <c r="F2" t="s">
        <v>27</v>
      </c>
      <c r="G2" t="s">
        <v>28</v>
      </c>
      <c r="H2" t="s">
        <v>3</v>
      </c>
    </row>
    <row r="3" spans="1:8" x14ac:dyDescent="0.25">
      <c r="A3" s="1">
        <v>43948</v>
      </c>
      <c r="B3" s="7">
        <v>6</v>
      </c>
      <c r="C3" s="7">
        <v>2</v>
      </c>
      <c r="D3">
        <f>SUM(Table1[[#This Row],[Mirel Vatavu (Articole noi)]:[Alexandru Salomia (Articole noi)]])</f>
        <v>8</v>
      </c>
      <c r="H3">
        <f>SUM(Table8[[#This Row],[Mirel Vatavu (Normalizate)]:[Alexandru Salomia (Normalizate)]])</f>
        <v>0</v>
      </c>
    </row>
    <row r="4" spans="1:8" x14ac:dyDescent="0.25">
      <c r="A4" s="1">
        <v>43949</v>
      </c>
      <c r="B4" s="7">
        <v>5</v>
      </c>
      <c r="C4" s="7">
        <v>3</v>
      </c>
      <c r="D4">
        <f>SUM(Table1[[#This Row],[Mirel Vatavu (Articole noi)]:[Alexandru Salomia (Articole noi)]])</f>
        <v>8</v>
      </c>
      <c r="H4">
        <f>SUM(Table8[[#This Row],[Mirel Vatavu (Normalizate)]:[Alexandru Salomia (Normalizate)]])</f>
        <v>0</v>
      </c>
    </row>
    <row r="5" spans="1:8" x14ac:dyDescent="0.25">
      <c r="A5" s="1">
        <v>43950</v>
      </c>
      <c r="B5" s="7">
        <v>6</v>
      </c>
      <c r="C5" s="7">
        <v>3</v>
      </c>
      <c r="D5">
        <f>SUM(Table1[[#This Row],[Mirel Vatavu (Articole noi)]:[Alexandru Salomia (Articole noi)]])</f>
        <v>9</v>
      </c>
      <c r="H5">
        <f>SUM(Table8[[#This Row],[Mirel Vatavu (Normalizate)]:[Alexandru Salomia (Normalizate)]])</f>
        <v>0</v>
      </c>
    </row>
    <row r="6" spans="1:8" x14ac:dyDescent="0.25">
      <c r="A6" s="1">
        <v>43951</v>
      </c>
      <c r="B6" s="7">
        <v>2</v>
      </c>
      <c r="C6" s="7">
        <v>1</v>
      </c>
      <c r="D6">
        <f>SUM(Table1[[#This Row],[Mirel Vatavu (Articole noi)]:[Alexandru Salomia (Articole noi)]])</f>
        <v>3</v>
      </c>
      <c r="H6">
        <f>SUM(Table8[[#This Row],[Mirel Vatavu (Normalizate)]:[Alexandru Salomia (Normalizate)]])</f>
        <v>0</v>
      </c>
    </row>
    <row r="7" spans="1:8" x14ac:dyDescent="0.25">
      <c r="A7" s="1">
        <v>43955</v>
      </c>
      <c r="B7" s="7">
        <v>9</v>
      </c>
      <c r="C7" s="7">
        <v>3</v>
      </c>
      <c r="D7">
        <f>SUM(Table1[[#This Row],[Mirel Vatavu (Articole noi)]:[Alexandru Salomia (Articole noi)]])</f>
        <v>12</v>
      </c>
      <c r="H7">
        <f>SUM(Table8[[#This Row],[Mirel Vatavu (Normalizate)]:[Alexandru Salomia (Normalizate)]])</f>
        <v>0</v>
      </c>
    </row>
    <row r="8" spans="1:8" x14ac:dyDescent="0.25">
      <c r="A8" s="1">
        <v>43956</v>
      </c>
      <c r="B8" s="7">
        <v>0</v>
      </c>
      <c r="C8" s="7">
        <v>7</v>
      </c>
      <c r="D8">
        <f>SUM(Table1[[#This Row],[Mirel Vatavu (Articole noi)]:[Alexandru Salomia (Articole noi)]])</f>
        <v>7</v>
      </c>
      <c r="H8">
        <f>SUM(Table8[[#This Row],[Mirel Vatavu (Normalizate)]:[Alexandru Salomia (Normalizate)]])</f>
        <v>0</v>
      </c>
    </row>
    <row r="9" spans="1:8" x14ac:dyDescent="0.25">
      <c r="A9" s="1">
        <v>43957</v>
      </c>
      <c r="B9" s="7">
        <v>10</v>
      </c>
      <c r="C9" s="7">
        <v>2</v>
      </c>
      <c r="D9">
        <f>SUM(Table1[[#This Row],[Mirel Vatavu (Articole noi)]:[Alexandru Salomia (Articole noi)]])</f>
        <v>12</v>
      </c>
      <c r="H9">
        <f>SUM(Table8[[#This Row],[Mirel Vatavu (Normalizate)]:[Alexandru Salomia (Normalizate)]])</f>
        <v>0</v>
      </c>
    </row>
    <row r="10" spans="1:8" x14ac:dyDescent="0.25">
      <c r="A10" s="1">
        <v>43958</v>
      </c>
      <c r="B10" s="7">
        <v>2</v>
      </c>
      <c r="C10" s="7">
        <v>4</v>
      </c>
      <c r="D10">
        <f>SUM(Table1[[#This Row],[Mirel Vatavu (Articole noi)]:[Alexandru Salomia (Articole noi)]])</f>
        <v>6</v>
      </c>
      <c r="H10">
        <f>SUM(Table8[[#This Row],[Mirel Vatavu (Normalizate)]:[Alexandru Salomia (Normalizate)]])</f>
        <v>0</v>
      </c>
    </row>
    <row r="11" spans="1:8" x14ac:dyDescent="0.25">
      <c r="A11" s="1">
        <v>43959</v>
      </c>
      <c r="B11" s="7">
        <v>7</v>
      </c>
      <c r="C11" s="7">
        <v>14</v>
      </c>
      <c r="D11">
        <f>SUM(Table1[[#This Row],[Mirel Vatavu (Articole noi)]:[Alexandru Salomia (Articole noi)]])</f>
        <v>21</v>
      </c>
      <c r="H11">
        <f>SUM(Table8[[#This Row],[Mirel Vatavu (Normalizate)]:[Alexandru Salomia (Normalizate)]])</f>
        <v>0</v>
      </c>
    </row>
    <row r="12" spans="1:8" x14ac:dyDescent="0.25">
      <c r="A12" s="1">
        <v>43962</v>
      </c>
      <c r="B12" s="7">
        <v>14</v>
      </c>
      <c r="C12" s="7">
        <v>12</v>
      </c>
      <c r="D12">
        <f>SUM(Table1[[#This Row],[Mirel Vatavu (Articole noi)]:[Alexandru Salomia (Articole noi)]])</f>
        <v>26</v>
      </c>
      <c r="H12">
        <f>SUM(Table8[[#This Row],[Mirel Vatavu (Normalizate)]:[Alexandru Salomia (Normalizate)]])</f>
        <v>0</v>
      </c>
    </row>
    <row r="13" spans="1:8" x14ac:dyDescent="0.25">
      <c r="A13" s="1">
        <v>43963</v>
      </c>
      <c r="B13" s="7">
        <v>6</v>
      </c>
      <c r="C13" s="7">
        <v>4</v>
      </c>
      <c r="D13">
        <f>SUM(Table1[[#This Row],[Mirel Vatavu (Articole noi)]:[Alexandru Salomia (Articole noi)]])</f>
        <v>10</v>
      </c>
      <c r="H13">
        <f>SUM(Table8[[#This Row],[Mirel Vatavu (Normalizate)]:[Alexandru Salomia (Normalizate)]])</f>
        <v>0</v>
      </c>
    </row>
    <row r="14" spans="1:8" x14ac:dyDescent="0.25">
      <c r="A14" s="1">
        <v>43964</v>
      </c>
      <c r="B14" s="7">
        <v>5</v>
      </c>
      <c r="C14" s="7">
        <v>5</v>
      </c>
      <c r="D14">
        <f>SUM(Table1[[#This Row],[Mirel Vatavu (Articole noi)]:[Alexandru Salomia (Articole noi)]])</f>
        <v>10</v>
      </c>
      <c r="F14">
        <v>2</v>
      </c>
      <c r="H14">
        <f>SUM(Table8[[#This Row],[Mirel Vatavu (Normalizate)]:[Alexandru Salomia (Normalizate)]])</f>
        <v>2</v>
      </c>
    </row>
    <row r="15" spans="1:8" x14ac:dyDescent="0.25">
      <c r="A15" s="1">
        <v>43965</v>
      </c>
      <c r="B15" s="7">
        <v>14</v>
      </c>
      <c r="C15" s="7">
        <v>5</v>
      </c>
      <c r="D15">
        <f>SUM(Table1[[#This Row],[Mirel Vatavu (Articole noi)]:[Alexandru Salomia (Articole noi)]])</f>
        <v>19</v>
      </c>
      <c r="F15">
        <v>1</v>
      </c>
      <c r="H15">
        <f>SUM(Table8[[#This Row],[Mirel Vatavu (Normalizate)]:[Alexandru Salomia (Normalizate)]])</f>
        <v>1</v>
      </c>
    </row>
    <row r="16" spans="1:8" x14ac:dyDescent="0.25">
      <c r="A16" s="1">
        <v>43966</v>
      </c>
      <c r="B16" s="7">
        <v>7</v>
      </c>
      <c r="C16" s="7">
        <v>0</v>
      </c>
      <c r="D16">
        <f>SUM(Table1[[#This Row],[Mirel Vatavu (Articole noi)]:[Alexandru Salomia (Articole noi)]])</f>
        <v>7</v>
      </c>
    </row>
    <row r="17" spans="1:4" x14ac:dyDescent="0.25">
      <c r="A17" s="1">
        <v>43969</v>
      </c>
      <c r="B17" s="7">
        <v>3</v>
      </c>
      <c r="C17" s="7">
        <v>1</v>
      </c>
      <c r="D17">
        <f>SUM(Table1[[#This Row],[Mirel Vatavu (Articole noi)]:[Alexandru Salomia (Articole noi)]])</f>
        <v>4</v>
      </c>
    </row>
    <row r="18" spans="1:4" x14ac:dyDescent="0.25">
      <c r="A18" s="1">
        <v>43970</v>
      </c>
      <c r="B18" s="7">
        <v>1</v>
      </c>
      <c r="C18" s="7">
        <v>1</v>
      </c>
      <c r="D18">
        <f>SUM(Table1[[#This Row],[Mirel Vatavu (Articole noi)]:[Alexandru Salomia (Articole noi)]])</f>
        <v>2</v>
      </c>
    </row>
    <row r="19" spans="1:4" x14ac:dyDescent="0.25">
      <c r="A19" s="1">
        <v>43971</v>
      </c>
      <c r="B19" s="7">
        <v>2</v>
      </c>
      <c r="C19" s="7">
        <v>0</v>
      </c>
      <c r="D19">
        <f>SUM(Table1[[#This Row],[Mirel Vatavu (Articole noi)]:[Alexandru Salomia (Articole noi)]])</f>
        <v>2</v>
      </c>
    </row>
    <row r="20" spans="1:4" x14ac:dyDescent="0.25">
      <c r="A20" s="1">
        <v>43972</v>
      </c>
      <c r="B20" s="7">
        <v>0</v>
      </c>
      <c r="C20" s="7">
        <v>3</v>
      </c>
      <c r="D20">
        <f>SUM(Table1[[#This Row],[Mirel Vatavu (Articole noi)]:[Alexandru Salomia (Articole noi)]])</f>
        <v>3</v>
      </c>
    </row>
    <row r="21" spans="1:4" x14ac:dyDescent="0.25">
      <c r="A21" s="1">
        <v>43973</v>
      </c>
      <c r="B21" s="7">
        <v>0</v>
      </c>
      <c r="C21" s="7">
        <v>0</v>
      </c>
      <c r="D21">
        <f>SUM(Table1[[#This Row],[Mirel Vatavu (Articole noi)]:[Alexandru Salomia (Articole noi)]])</f>
        <v>0</v>
      </c>
    </row>
    <row r="22" spans="1:4" x14ac:dyDescent="0.25">
      <c r="A22" s="1">
        <v>43976</v>
      </c>
      <c r="B22" s="7">
        <v>12</v>
      </c>
      <c r="C22" s="7">
        <v>4</v>
      </c>
      <c r="D22">
        <f>SUM(Table1[[#This Row],[Mirel Vatavu (Articole noi)]:[Alexandru Salomia (Articole noi)]])</f>
        <v>16</v>
      </c>
    </row>
    <row r="23" spans="1:4" x14ac:dyDescent="0.25">
      <c r="A23" s="1">
        <v>43977</v>
      </c>
      <c r="B23" s="7">
        <v>2</v>
      </c>
      <c r="C23" s="7">
        <v>2</v>
      </c>
      <c r="D23">
        <f>SUM(Table1[[#This Row],[Mirel Vatavu (Articole noi)]:[Alexandru Salomia (Articole noi)]])</f>
        <v>4</v>
      </c>
    </row>
    <row r="24" spans="1:4" x14ac:dyDescent="0.25">
      <c r="A24" s="1">
        <v>43978</v>
      </c>
      <c r="B24" s="7">
        <v>13</v>
      </c>
      <c r="C24" s="7">
        <v>10</v>
      </c>
      <c r="D24">
        <f>SUM(Table1[[#This Row],[Mirel Vatavu (Articole noi)]:[Alexandru Salomia (Articole noi)]])</f>
        <v>23</v>
      </c>
    </row>
    <row r="25" spans="1:4" x14ac:dyDescent="0.25">
      <c r="A25" s="1">
        <v>43979</v>
      </c>
      <c r="B25" s="7">
        <v>0</v>
      </c>
      <c r="C25" s="7">
        <v>3</v>
      </c>
      <c r="D25">
        <f>SUM(Table1[[#This Row],[Mirel Vatavu (Articole noi)]:[Alexandru Salomia (Articole noi)]])</f>
        <v>3</v>
      </c>
    </row>
    <row r="26" spans="1:4" x14ac:dyDescent="0.25">
      <c r="A26" s="1">
        <v>43984</v>
      </c>
      <c r="B26" s="7">
        <v>4</v>
      </c>
      <c r="C26" s="7">
        <v>0</v>
      </c>
      <c r="D26">
        <f>SUM(Table1[[#This Row],[Mirel Vatavu (Articole noi)]:[Alexandru Salomia (Articole noi)]])</f>
        <v>4</v>
      </c>
    </row>
    <row r="27" spans="1:4" x14ac:dyDescent="0.25">
      <c r="A27" s="1">
        <v>43985</v>
      </c>
      <c r="B27" s="7">
        <v>13</v>
      </c>
      <c r="C27" s="7">
        <v>10</v>
      </c>
      <c r="D27">
        <f>SUM(Table1[[#This Row],[Mirel Vatavu (Articole noi)]:[Alexandru Salomia (Articole noi)]])</f>
        <v>23</v>
      </c>
    </row>
    <row r="28" spans="1:4" x14ac:dyDescent="0.25">
      <c r="A28" s="1">
        <v>43986</v>
      </c>
      <c r="B28" s="7">
        <v>7</v>
      </c>
      <c r="C28" s="7">
        <v>2</v>
      </c>
      <c r="D28">
        <f>SUM(Table1[[#This Row],[Mirel Vatavu (Articole noi)]:[Alexandru Salomia (Articole noi)]])</f>
        <v>9</v>
      </c>
    </row>
    <row r="29" spans="1:4" x14ac:dyDescent="0.25">
      <c r="A29" s="1">
        <v>43987</v>
      </c>
      <c r="B29" s="7">
        <v>5</v>
      </c>
      <c r="C29" s="7">
        <v>4</v>
      </c>
      <c r="D29">
        <f>SUM(Table1[[#This Row],[Mirel Vatavu (Articole noi)]:[Alexandru Salomia (Articole noi)]])</f>
        <v>9</v>
      </c>
    </row>
    <row r="30" spans="1:4" x14ac:dyDescent="0.25">
      <c r="A30" s="1">
        <v>43991</v>
      </c>
      <c r="B30" s="7">
        <v>28</v>
      </c>
      <c r="C30" s="7">
        <v>24</v>
      </c>
      <c r="D30">
        <f>SUM(Table1[[#This Row],[Mirel Vatavu (Articole noi)]:[Alexandru Salomia (Articole noi)]])</f>
        <v>52</v>
      </c>
    </row>
    <row r="31" spans="1:4" x14ac:dyDescent="0.25">
      <c r="A31" s="1">
        <v>43992</v>
      </c>
      <c r="B31" s="7">
        <v>17</v>
      </c>
      <c r="C31" s="7">
        <v>6</v>
      </c>
      <c r="D31">
        <f>SUM(Table1[[#This Row],[Mirel Vatavu (Articole noi)]:[Alexandru Salomia (Articole noi)]])</f>
        <v>23</v>
      </c>
    </row>
    <row r="32" spans="1:4" x14ac:dyDescent="0.25">
      <c r="A32" s="1">
        <v>43993</v>
      </c>
      <c r="B32" s="7">
        <v>4</v>
      </c>
      <c r="C32" s="7">
        <v>2</v>
      </c>
      <c r="D32">
        <f>SUM(Table1[[#This Row],[Mirel Vatavu (Articole noi)]:[Alexandru Salomia (Articole noi)]])</f>
        <v>6</v>
      </c>
    </row>
    <row r="33" spans="1:4" x14ac:dyDescent="0.25">
      <c r="A33" s="15">
        <v>44399</v>
      </c>
      <c r="B33" s="7">
        <v>32</v>
      </c>
      <c r="C33" s="7">
        <v>5</v>
      </c>
      <c r="D33">
        <f>SUM(Table1[[#This Row],[Mirel Vatavu (Articole noi)]:[Alexandru Salomia (Articole noi)]])</f>
        <v>37</v>
      </c>
    </row>
  </sheetData>
  <mergeCells count="1">
    <mergeCell ref="B1:C1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63C19-DC01-4AD2-8962-08A1495C36E8}">
  <sheetPr codeName="Sheet2"/>
  <dimension ref="A1:T50"/>
  <sheetViews>
    <sheetView tabSelected="1" workbookViewId="0">
      <selection activeCell="C16" sqref="C16"/>
    </sheetView>
  </sheetViews>
  <sheetFormatPr defaultRowHeight="15" x14ac:dyDescent="0.25"/>
  <cols>
    <col min="1" max="1" width="14.7109375" style="1" customWidth="1"/>
    <col min="2" max="2" width="14.5703125" customWidth="1"/>
    <col min="3" max="3" width="19.7109375" customWidth="1"/>
    <col min="4" max="4" width="21.85546875" customWidth="1"/>
    <col min="5" max="6" width="22" customWidth="1"/>
    <col min="7" max="7" width="22" style="1" customWidth="1"/>
    <col min="8" max="11" width="22" customWidth="1"/>
    <col min="12" max="12" width="22" style="1" customWidth="1"/>
    <col min="13" max="15" width="22" customWidth="1"/>
    <col min="17" max="17" width="19.42578125" style="1" customWidth="1"/>
    <col min="18" max="18" width="24.5703125" customWidth="1"/>
  </cols>
  <sheetData>
    <row r="1" spans="1:20" x14ac:dyDescent="0.25">
      <c r="A1" s="1" t="s">
        <v>8</v>
      </c>
    </row>
    <row r="2" spans="1:20" x14ac:dyDescent="0.25">
      <c r="A2" s="1" t="s">
        <v>9</v>
      </c>
    </row>
    <row r="3" spans="1:20" x14ac:dyDescent="0.25">
      <c r="A3" s="8" t="s">
        <v>21</v>
      </c>
    </row>
    <row r="4" spans="1:20" x14ac:dyDescent="0.25">
      <c r="A4" s="8" t="s">
        <v>22</v>
      </c>
    </row>
    <row r="5" spans="1:20" x14ac:dyDescent="0.25">
      <c r="A5" s="12" t="s">
        <v>10</v>
      </c>
      <c r="B5" s="12"/>
      <c r="C5" s="12"/>
      <c r="D5" s="12"/>
      <c r="E5" s="12"/>
      <c r="F5" s="5"/>
      <c r="G5" s="12" t="s">
        <v>14</v>
      </c>
      <c r="H5" s="13"/>
      <c r="I5" s="13"/>
      <c r="J5" s="6"/>
      <c r="K5" s="6"/>
      <c r="L5" s="12" t="s">
        <v>15</v>
      </c>
      <c r="M5" s="13"/>
      <c r="N5" s="13"/>
      <c r="O5" s="6"/>
    </row>
    <row r="6" spans="1:20" x14ac:dyDescent="0.25">
      <c r="A6" s="9" t="s">
        <v>6</v>
      </c>
      <c r="B6" t="s">
        <v>5</v>
      </c>
      <c r="C6" t="s">
        <v>4</v>
      </c>
      <c r="D6" t="s">
        <v>2</v>
      </c>
      <c r="E6" s="2" t="s">
        <v>0</v>
      </c>
      <c r="F6" s="2"/>
      <c r="G6" s="10" t="s">
        <v>11</v>
      </c>
      <c r="H6" s="2" t="s">
        <v>12</v>
      </c>
      <c r="I6" s="2" t="s">
        <v>13</v>
      </c>
      <c r="J6" s="2" t="s">
        <v>20</v>
      </c>
      <c r="K6" s="2"/>
      <c r="L6" s="10" t="s">
        <v>11</v>
      </c>
      <c r="M6" s="2" t="s">
        <v>16</v>
      </c>
      <c r="N6" s="2" t="s">
        <v>17</v>
      </c>
      <c r="O6" s="2" t="s">
        <v>18</v>
      </c>
      <c r="Q6" s="1" t="s">
        <v>1</v>
      </c>
      <c r="R6" t="s">
        <v>19</v>
      </c>
      <c r="S6" t="s">
        <v>23</v>
      </c>
      <c r="T6" t="s">
        <v>24</v>
      </c>
    </row>
    <row r="7" spans="1:20" ht="14.25" customHeight="1" x14ac:dyDescent="0.25">
      <c r="A7" s="14">
        <v>44399</v>
      </c>
      <c r="B7">
        <v>1</v>
      </c>
      <c r="C7" s="3">
        <v>2</v>
      </c>
      <c r="D7" s="4"/>
      <c r="E7" t="s">
        <v>29</v>
      </c>
      <c r="G7" s="14">
        <v>44399</v>
      </c>
      <c r="H7">
        <v>1</v>
      </c>
      <c r="I7" s="3">
        <v>2</v>
      </c>
      <c r="J7" s="4"/>
      <c r="L7" s="15">
        <v>44399</v>
      </c>
      <c r="M7">
        <v>6</v>
      </c>
      <c r="N7">
        <v>5</v>
      </c>
      <c r="Q7" s="15">
        <v>44399</v>
      </c>
    </row>
    <row r="8" spans="1:20" ht="14.25" customHeight="1" x14ac:dyDescent="0.25">
      <c r="A8" s="14">
        <v>44399</v>
      </c>
      <c r="B8">
        <v>1</v>
      </c>
      <c r="C8" s="3">
        <v>2</v>
      </c>
      <c r="D8" s="4"/>
      <c r="E8" t="s">
        <v>29</v>
      </c>
      <c r="G8" s="15">
        <v>44399</v>
      </c>
      <c r="H8">
        <v>3</v>
      </c>
      <c r="I8">
        <v>4</v>
      </c>
      <c r="L8" s="15">
        <v>44399</v>
      </c>
      <c r="M8">
        <v>6</v>
      </c>
      <c r="N8">
        <v>5</v>
      </c>
      <c r="Q8" s="15">
        <v>44399</v>
      </c>
    </row>
    <row r="9" spans="1:20" ht="14.25" customHeight="1" x14ac:dyDescent="0.25"/>
    <row r="10" spans="1:20" ht="14.25" customHeight="1" x14ac:dyDescent="0.25"/>
    <row r="11" spans="1:20" ht="14.25" customHeight="1" x14ac:dyDescent="0.25"/>
    <row r="12" spans="1:20" ht="14.25" customHeight="1" x14ac:dyDescent="0.25"/>
    <row r="13" spans="1:20" ht="14.25" customHeight="1" x14ac:dyDescent="0.25"/>
    <row r="14" spans="1:20" ht="14.25" customHeight="1" x14ac:dyDescent="0.25"/>
    <row r="15" spans="1:20" ht="14.25" customHeight="1" x14ac:dyDescent="0.25"/>
    <row r="16" spans="1:20" ht="14.25" customHeight="1" x14ac:dyDescent="0.25"/>
    <row r="17" ht="14.25" customHeight="1" x14ac:dyDescent="0.25"/>
    <row r="18" ht="14.25" customHeight="1" x14ac:dyDescent="0.25"/>
    <row r="19" ht="14.25" customHeight="1" x14ac:dyDescent="0.25"/>
    <row r="20" ht="14.25" customHeight="1" x14ac:dyDescent="0.25"/>
    <row r="21" ht="14.25" customHeight="1" x14ac:dyDescent="0.25"/>
    <row r="22" ht="14.25" customHeight="1" x14ac:dyDescent="0.25"/>
    <row r="23" ht="14.25" customHeight="1" x14ac:dyDescent="0.25"/>
    <row r="24" ht="14.25" customHeight="1" x14ac:dyDescent="0.25"/>
    <row r="25" ht="14.25" customHeight="1" x14ac:dyDescent="0.25"/>
    <row r="26" ht="14.25" customHeight="1" x14ac:dyDescent="0.25"/>
    <row r="27" ht="14.25" customHeight="1" x14ac:dyDescent="0.25"/>
    <row r="28" ht="14.25" customHeight="1" x14ac:dyDescent="0.25"/>
    <row r="29" ht="14.25" customHeight="1" x14ac:dyDescent="0.25"/>
    <row r="30" ht="14.25" customHeight="1" x14ac:dyDescent="0.25"/>
    <row r="31" ht="14.25" customHeight="1" x14ac:dyDescent="0.25"/>
    <row r="32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</sheetData>
  <mergeCells count="3">
    <mergeCell ref="A5:E5"/>
    <mergeCell ref="G5:I5"/>
    <mergeCell ref="L5:N5"/>
  </mergeCells>
  <pageMargins left="0.7" right="0.7" top="0.75" bottom="0.75" header="0.3" footer="0.3"/>
  <pageSetup paperSize="9" orientation="portrait" r:id="rId1"/>
  <drawing r:id="rId2"/>
  <tableParts count="4"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New articles</vt:lpstr>
      <vt:lpstr>Daily environmental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Vatavu,Vasile Mirel</dc:creator>
  <cp:lastModifiedBy>Seidecaru, Daniel</cp:lastModifiedBy>
  <dcterms:created xsi:type="dcterms:W3CDTF">2020-04-28T05:51:07Z</dcterms:created>
  <dcterms:modified xsi:type="dcterms:W3CDTF">2021-07-22T05:33:51Z</dcterms:modified>
</cp:coreProperties>
</file>